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e-ops\code\bee_ops\src\bee_ops\controllers\"/>
    </mc:Choice>
  </mc:AlternateContent>
  <xr:revisionPtr revIDLastSave="0" documentId="13_ncr:9_{B582584E-627E-41E8-AFF2-F8AE80951BDE}" xr6:coauthVersionLast="47" xr6:coauthVersionMax="47" xr10:uidLastSave="{00000000-0000-0000-0000-000000000000}"/>
  <bookViews>
    <workbookView xWindow="-108" yWindow="-108" windowWidth="23256" windowHeight="12456" xr2:uid="{7232F1E7-1564-4A1C-A490-97D40857CFB2}"/>
  </bookViews>
  <sheets>
    <sheet name="Randomiser" sheetId="2" r:id="rId1"/>
  </sheets>
  <calcPr calcId="0"/>
</workbook>
</file>

<file path=xl/calcChain.xml><?xml version="1.0" encoding="utf-8"?>
<calcChain xmlns="http://schemas.openxmlformats.org/spreadsheetml/2006/main">
  <c r="E12" i="2" l="1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11" i="2"/>
  <c r="C1" i="2" s="1"/>
  <c r="G44" i="2"/>
  <c r="G42" i="2"/>
  <c r="G40" i="2"/>
  <c r="G43" i="2"/>
  <c r="G38" i="2"/>
  <c r="G45" i="2"/>
  <c r="G39" i="2"/>
  <c r="G36" i="2"/>
  <c r="G35" i="2"/>
  <c r="G53" i="2"/>
  <c r="G54" i="2"/>
  <c r="G57" i="2"/>
  <c r="G49" i="2"/>
  <c r="G48" i="2"/>
  <c r="G58" i="2"/>
  <c r="G55" i="2"/>
  <c r="G50" i="2"/>
  <c r="G56" i="2"/>
  <c r="G51" i="2"/>
  <c r="G52" i="2"/>
  <c r="G47" i="2"/>
  <c r="G22" i="2"/>
  <c r="G21" i="2"/>
  <c r="G13" i="2"/>
  <c r="G15" i="2"/>
  <c r="G16" i="2"/>
  <c r="G14" i="2"/>
  <c r="G12" i="2"/>
  <c r="G17" i="2"/>
  <c r="G18" i="2"/>
  <c r="G11" i="2"/>
  <c r="G20" i="2"/>
  <c r="G23" i="2"/>
  <c r="G30" i="2"/>
  <c r="G32" i="2"/>
  <c r="G33" i="2"/>
  <c r="G24" i="2"/>
  <c r="G26" i="2"/>
  <c r="G31" i="2"/>
  <c r="G25" i="2"/>
  <c r="G34" i="2"/>
  <c r="G27" i="2"/>
  <c r="G29" i="2"/>
  <c r="G28" i="2"/>
  <c r="G46" i="2"/>
  <c r="G37" i="2"/>
  <c r="G41" i="2"/>
  <c r="G19" i="2"/>
  <c r="B32" i="2"/>
  <c r="B33" i="2"/>
  <c r="B24" i="2"/>
  <c r="B26" i="2"/>
  <c r="B31" i="2"/>
  <c r="B25" i="2"/>
  <c r="B34" i="2"/>
  <c r="B27" i="2"/>
  <c r="B29" i="2"/>
  <c r="B28" i="2"/>
  <c r="B46" i="2"/>
  <c r="B37" i="2"/>
  <c r="B41" i="2"/>
  <c r="B44" i="2"/>
  <c r="B42" i="2"/>
  <c r="B40" i="2"/>
  <c r="B43" i="2"/>
  <c r="B38" i="2"/>
  <c r="B45" i="2"/>
  <c r="B39" i="2"/>
  <c r="B36" i="2"/>
  <c r="B35" i="2"/>
  <c r="B53" i="2"/>
  <c r="B54" i="2"/>
  <c r="B57" i="2"/>
  <c r="B49" i="2"/>
  <c r="B48" i="2"/>
  <c r="B58" i="2"/>
  <c r="B55" i="2"/>
  <c r="B50" i="2"/>
  <c r="B56" i="2"/>
  <c r="B51" i="2"/>
  <c r="B52" i="2"/>
  <c r="B47" i="2"/>
  <c r="D58" i="2"/>
  <c r="D55" i="2"/>
  <c r="D50" i="2"/>
  <c r="D56" i="2"/>
  <c r="D51" i="2"/>
  <c r="D52" i="2"/>
  <c r="D47" i="2"/>
  <c r="H58" i="2"/>
  <c r="H55" i="2"/>
  <c r="H50" i="2"/>
  <c r="H56" i="2"/>
  <c r="H51" i="2"/>
  <c r="H52" i="2"/>
  <c r="H47" i="2"/>
  <c r="D44" i="2"/>
  <c r="D42" i="2"/>
  <c r="D40" i="2"/>
  <c r="D43" i="2"/>
  <c r="D38" i="2"/>
  <c r="D45" i="2"/>
  <c r="D39" i="2"/>
  <c r="D36" i="2"/>
  <c r="D35" i="2"/>
  <c r="D53" i="2"/>
  <c r="D54" i="2"/>
  <c r="D57" i="2"/>
  <c r="D49" i="2"/>
  <c r="D48" i="2"/>
  <c r="H44" i="2"/>
  <c r="H42" i="2"/>
  <c r="H40" i="2"/>
  <c r="H43" i="2"/>
  <c r="H38" i="2"/>
  <c r="H45" i="2"/>
  <c r="H39" i="2"/>
  <c r="H36" i="2"/>
  <c r="H35" i="2"/>
  <c r="H53" i="2"/>
  <c r="H54" i="2"/>
  <c r="H57" i="2"/>
  <c r="H49" i="2"/>
  <c r="H48" i="2"/>
  <c r="B30" i="2"/>
  <c r="D30" i="2"/>
  <c r="H30" i="2"/>
  <c r="D32" i="2"/>
  <c r="H32" i="2"/>
  <c r="D33" i="2"/>
  <c r="H33" i="2"/>
  <c r="D24" i="2"/>
  <c r="H24" i="2"/>
  <c r="D26" i="2"/>
  <c r="H26" i="2"/>
  <c r="D31" i="2"/>
  <c r="H31" i="2"/>
  <c r="D25" i="2"/>
  <c r="H25" i="2"/>
  <c r="D34" i="2"/>
  <c r="H34" i="2"/>
  <c r="D27" i="2"/>
  <c r="H27" i="2"/>
  <c r="D29" i="2"/>
  <c r="H29" i="2"/>
  <c r="D28" i="2"/>
  <c r="H28" i="2"/>
  <c r="D46" i="2"/>
  <c r="H46" i="2"/>
  <c r="D37" i="2"/>
  <c r="H37" i="2"/>
  <c r="D41" i="2"/>
  <c r="H41" i="2"/>
  <c r="D22" i="2"/>
  <c r="D21" i="2"/>
  <c r="D13" i="2"/>
  <c r="D15" i="2"/>
  <c r="D16" i="2"/>
  <c r="D14" i="2"/>
  <c r="D12" i="2"/>
  <c r="D17" i="2"/>
  <c r="D18" i="2"/>
  <c r="D11" i="2"/>
  <c r="D20" i="2"/>
  <c r="D23" i="2"/>
  <c r="D19" i="2"/>
  <c r="B22" i="2"/>
  <c r="B21" i="2"/>
  <c r="B13" i="2"/>
  <c r="B15" i="2"/>
  <c r="B16" i="2"/>
  <c r="B14" i="2"/>
  <c r="B12" i="2"/>
  <c r="B17" i="2"/>
  <c r="B18" i="2"/>
  <c r="B11" i="2"/>
  <c r="B20" i="2"/>
  <c r="B23" i="2"/>
  <c r="B19" i="2"/>
  <c r="H23" i="2"/>
  <c r="H20" i="2"/>
  <c r="H11" i="2"/>
  <c r="H18" i="2"/>
  <c r="H17" i="2"/>
  <c r="H12" i="2"/>
  <c r="H14" i="2"/>
  <c r="H22" i="2"/>
  <c r="H21" i="2"/>
  <c r="H13" i="2"/>
  <c r="H15" i="2"/>
  <c r="H16" i="2"/>
  <c r="H19" i="2"/>
</calcChain>
</file>

<file path=xl/sharedStrings.xml><?xml version="1.0" encoding="utf-8"?>
<sst xmlns="http://schemas.openxmlformats.org/spreadsheetml/2006/main" count="19" uniqueCount="19">
  <si>
    <t>frequency</t>
  </si>
  <si>
    <t>duration_seconds</t>
  </si>
  <si>
    <t>relative_volume</t>
  </si>
  <si>
    <t>silence_after</t>
  </si>
  <si>
    <t>rand_seed</t>
  </si>
  <si>
    <t>replicate</t>
  </si>
  <si>
    <t>Index</t>
  </si>
  <si>
    <t>freq_levels</t>
  </si>
  <si>
    <t>vol_min</t>
  </si>
  <si>
    <t>vol_increment</t>
  </si>
  <si>
    <t>freq_min</t>
  </si>
  <si>
    <t>freq_increment</t>
  </si>
  <si>
    <t>mins</t>
  </si>
  <si>
    <t>Exp duration:</t>
  </si>
  <si>
    <t>Instructions</t>
  </si>
  <si>
    <t>Set parameters in yellow block</t>
  </si>
  <si>
    <t>Sort the table by rand_seed</t>
  </si>
  <si>
    <t>Extend / shorten table to length required, copying down formula as required</t>
  </si>
  <si>
    <r>
      <t xml:space="preserve">Copy-n-paste the four columns </t>
    </r>
    <r>
      <rPr>
        <b/>
        <sz val="11"/>
        <color theme="1"/>
        <rFont val="Aptos Narrow"/>
        <family val="2"/>
        <scheme val="minor"/>
      </rPr>
      <t>frequency</t>
    </r>
    <r>
      <rPr>
        <sz val="11"/>
        <color theme="1"/>
        <rFont val="Aptos Narrow"/>
        <family val="2"/>
        <scheme val="minor"/>
      </rPr>
      <t xml:space="preserve"> to </t>
    </r>
    <r>
      <rPr>
        <b/>
        <sz val="11"/>
        <color theme="1"/>
        <rFont val="Aptos Narrow"/>
        <family val="2"/>
        <scheme val="minor"/>
      </rPr>
      <t>silence_after</t>
    </r>
    <r>
      <rPr>
        <sz val="11"/>
        <color theme="1"/>
        <rFont val="Aptos Narrow"/>
        <family val="2"/>
        <scheme val="minor"/>
      </rPr>
      <t xml:space="preserve"> from the table into a new config_test.csv file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</si>
</sst>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18" fillId="33" borderId="0" xfId="0" applyFont="1" applyFill="1"/>
    <xf numFmtId="1" fontId="0" fillId="0" borderId="0" xfId="0" applyNumberFormat="1"/>
    <xf numFmtId="0" fontId="0" fillId="0" borderId="10" xfId="0" applyBorder="1"/>
    <xf numFmtId="0" fontId="0" fillId="34" borderId="11" xfId="0" applyFill="1" applyBorder="1"/>
    <xf numFmtId="0" fontId="0" fillId="0" borderId="12" xfId="0" applyBorder="1"/>
    <xf numFmtId="0" fontId="0" fillId="34" borderId="13" xfId="0" applyFill="1" applyBorder="1"/>
    <xf numFmtId="0" fontId="0" fillId="0" borderId="14" xfId="0" applyBorder="1"/>
    <xf numFmtId="0" fontId="0" fillId="34" borderId="15" xfId="0" applyFill="1" applyBorder="1"/>
    <xf numFmtId="0" fontId="16" fillId="35" borderId="0" xfId="0" applyFont="1" applyFill="1" applyAlignment="1">
      <alignment horizontal="right"/>
    </xf>
    <xf numFmtId="0" fontId="16" fillId="35" borderId="0" xfId="0" applyFont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numFmt numFmtId="1" formatCode="0"/>
    </dxf>
    <dxf>
      <fill>
        <patternFill patternType="solid">
          <fgColor indexed="64"/>
          <bgColor theme="2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197F51-0F33-4CC7-9515-43AF1DE770F9}" name="Table1" displayName="Table1" ref="B10:H58" totalsRowShown="0">
  <autoFilter ref="B10:H58" xr:uid="{63197F51-0F33-4CC7-9515-43AF1DE770F9}"/>
  <sortState xmlns:xlrd2="http://schemas.microsoft.com/office/spreadsheetml/2017/richdata2" ref="B11:H58">
    <sortCondition ref="G10:G58"/>
  </sortState>
  <tableColumns count="7">
    <tableColumn id="1" xr3:uid="{70A31187-96E7-4F73-B563-F2F659CAEEBC}" name="frequency" dataDxfId="2">
      <calculatedColumnFormula>(C$3*POWER(1+C$4, Table1[[#This Row],[Index]]))</calculatedColumnFormula>
    </tableColumn>
    <tableColumn id="2" xr3:uid="{06D08140-32AD-484E-A868-F0BD7CCFA049}" name="duration_seconds"/>
    <tableColumn id="3" xr3:uid="{A8E76108-3312-493C-8ED7-B62F6AB1A53D}" name="relative_volume"/>
    <tableColumn id="4" xr3:uid="{D8750957-51B6-4283-BF40-BA0EBD7A51E6}" name="silence_after">
      <calculatedColumnFormula>180-2</calculatedColumnFormula>
    </tableColumn>
    <tableColumn id="7" xr3:uid="{F9493097-0ADF-4B89-AA30-DDCF5B43FB7F}" name="Index" dataDxfId="0"/>
    <tableColumn id="6" xr3:uid="{CB7F3073-13BB-4981-8B45-D51E297E3819}" name="replicate" dataDxfId="1"/>
    <tableColumn id="5" xr3:uid="{92FA9094-750B-4B24-B982-60E3CAC7356C}" name="rand_seed" dataDxfId="3">
      <calculatedColumnFormula>RAND()</calculatedColumnFormula>
    </tableColumn>
  </tableColumns>
  <tableStyleInfo name="TableStyleLight2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EF21-9507-4176-8311-1DB332905CB7}">
  <dimension ref="B1:H58"/>
  <sheetViews>
    <sheetView showGridLines="0" tabSelected="1" workbookViewId="0">
      <selection activeCell="E8" sqref="E8"/>
    </sheetView>
  </sheetViews>
  <sheetFormatPr defaultRowHeight="14.4" x14ac:dyDescent="0.3"/>
  <cols>
    <col min="1" max="1" width="3.77734375" customWidth="1"/>
    <col min="2" max="2" width="13.33203125" bestFit="1" customWidth="1"/>
    <col min="3" max="3" width="17.5546875" customWidth="1"/>
    <col min="4" max="4" width="16.5546875" bestFit="1" customWidth="1"/>
    <col min="5" max="5" width="13.88671875" bestFit="1" customWidth="1"/>
    <col min="6" max="6" width="7.77734375" bestFit="1" customWidth="1"/>
    <col min="7" max="7" width="10.77734375" bestFit="1" customWidth="1"/>
    <col min="8" max="8" width="11.44140625" customWidth="1"/>
  </cols>
  <sheetData>
    <row r="1" spans="2:8" x14ac:dyDescent="0.3">
      <c r="B1" s="10" t="s">
        <v>13</v>
      </c>
      <c r="C1" s="11">
        <f>(SUM(Table1[duration_seconds])+SUM(Table1[silence_after]))/60</f>
        <v>144</v>
      </c>
      <c r="D1" s="11" t="s">
        <v>12</v>
      </c>
    </row>
    <row r="2" spans="2:8" ht="15" thickBot="1" x14ac:dyDescent="0.35"/>
    <row r="3" spans="2:8" x14ac:dyDescent="0.3">
      <c r="B3" s="4" t="s">
        <v>10</v>
      </c>
      <c r="C3" s="5">
        <v>25</v>
      </c>
      <c r="E3" s="12" t="s">
        <v>14</v>
      </c>
    </row>
    <row r="4" spans="2:8" x14ac:dyDescent="0.3">
      <c r="B4" s="6" t="s">
        <v>11</v>
      </c>
      <c r="C4" s="7">
        <v>0.5</v>
      </c>
      <c r="E4" t="s">
        <v>15</v>
      </c>
    </row>
    <row r="5" spans="2:8" x14ac:dyDescent="0.3">
      <c r="B5" s="6" t="s">
        <v>7</v>
      </c>
      <c r="C5" s="7">
        <v>12</v>
      </c>
      <c r="E5" t="s">
        <v>17</v>
      </c>
    </row>
    <row r="6" spans="2:8" x14ac:dyDescent="0.3">
      <c r="B6" s="6" t="s">
        <v>8</v>
      </c>
      <c r="C6" s="7">
        <v>25</v>
      </c>
      <c r="E6" t="s">
        <v>16</v>
      </c>
    </row>
    <row r="7" spans="2:8" ht="15" thickBot="1" x14ac:dyDescent="0.35">
      <c r="B7" s="8" t="s">
        <v>9</v>
      </c>
      <c r="C7" s="9">
        <v>25</v>
      </c>
      <c r="E7" t="s">
        <v>18</v>
      </c>
    </row>
    <row r="10" spans="2:8" x14ac:dyDescent="0.3">
      <c r="B10" t="s">
        <v>0</v>
      </c>
      <c r="C10" t="s">
        <v>1</v>
      </c>
      <c r="D10" t="s">
        <v>2</v>
      </c>
      <c r="E10" t="s">
        <v>3</v>
      </c>
      <c r="F10" s="1" t="s">
        <v>6</v>
      </c>
      <c r="G10" s="2" t="s">
        <v>5</v>
      </c>
      <c r="H10" s="2" t="s">
        <v>4</v>
      </c>
    </row>
    <row r="11" spans="2:8" x14ac:dyDescent="0.3">
      <c r="B11" s="3">
        <f>(C$3*POWER(1+C$4, MOD(Table1[[#This Row],[Index]], C$5)))</f>
        <v>1441.6259765625</v>
      </c>
      <c r="C11">
        <v>2</v>
      </c>
      <c r="D11">
        <f>C$6+(INT(Table1[[#This Row],[Index]]/C$5)*C$7)</f>
        <v>25</v>
      </c>
      <c r="E11">
        <f>180-2</f>
        <v>178</v>
      </c>
      <c r="F11" s="1">
        <v>10</v>
      </c>
      <c r="G11" s="1">
        <f>INT(Table1[[#This Row],[Index]]/C$5)</f>
        <v>0</v>
      </c>
      <c r="H11" s="1">
        <f ca="1">RAND()</f>
        <v>0.74985002186137883</v>
      </c>
    </row>
    <row r="12" spans="2:8" x14ac:dyDescent="0.3">
      <c r="B12" s="3">
        <f>(C$3*POWER(1+C$4, MOD(Table1[[#This Row],[Index]], C$5)))</f>
        <v>427.1484375</v>
      </c>
      <c r="C12">
        <v>2</v>
      </c>
      <c r="D12">
        <f>C$6+(INT(Table1[[#This Row],[Index]]/C$5)*C$7)</f>
        <v>25</v>
      </c>
      <c r="E12">
        <f t="shared" ref="E12:E58" si="0">180-2</f>
        <v>178</v>
      </c>
      <c r="F12" s="1">
        <v>7</v>
      </c>
      <c r="G12" s="1">
        <f>INT(Table1[[#This Row],[Index]]/C$5)</f>
        <v>0</v>
      </c>
      <c r="H12" s="1">
        <f ca="1">RAND()</f>
        <v>0.43849770618305139</v>
      </c>
    </row>
    <row r="13" spans="2:8" x14ac:dyDescent="0.3">
      <c r="B13" s="3">
        <f>(C$3*POWER(1+C$4, MOD(Table1[[#This Row],[Index]], C$5)))</f>
        <v>84.375</v>
      </c>
      <c r="C13">
        <v>2</v>
      </c>
      <c r="D13">
        <f>C$6+(INT(Table1[[#This Row],[Index]]/C$5)*C$7)</f>
        <v>25</v>
      </c>
      <c r="E13">
        <f t="shared" si="0"/>
        <v>178</v>
      </c>
      <c r="F13" s="1">
        <v>3</v>
      </c>
      <c r="G13" s="1">
        <f>INT(Table1[[#This Row],[Index]]/C$5)</f>
        <v>0</v>
      </c>
      <c r="H13" s="1">
        <f ca="1">RAND()</f>
        <v>0.81193973222217131</v>
      </c>
    </row>
    <row r="14" spans="2:8" x14ac:dyDescent="0.3">
      <c r="B14" s="3">
        <f>(C$3*POWER(1+C$4, MOD(Table1[[#This Row],[Index]], C$5)))</f>
        <v>284.765625</v>
      </c>
      <c r="C14">
        <v>2</v>
      </c>
      <c r="D14">
        <f>C$6+(INT(Table1[[#This Row],[Index]]/C$5)*C$7)</f>
        <v>25</v>
      </c>
      <c r="E14">
        <f t="shared" si="0"/>
        <v>178</v>
      </c>
      <c r="F14" s="1">
        <v>6</v>
      </c>
      <c r="G14" s="1">
        <f>INT(Table1[[#This Row],[Index]]/C$5)</f>
        <v>0</v>
      </c>
      <c r="H14" s="1">
        <f ca="1">RAND()</f>
        <v>0.45227828308237139</v>
      </c>
    </row>
    <row r="15" spans="2:8" x14ac:dyDescent="0.3">
      <c r="B15" s="3">
        <f>(C$3*POWER(1+C$4, MOD(Table1[[#This Row],[Index]], C$5)))</f>
        <v>126.5625</v>
      </c>
      <c r="C15">
        <v>2</v>
      </c>
      <c r="D15">
        <f>C$6+(INT(Table1[[#This Row],[Index]]/C$5)*C$7)</f>
        <v>25</v>
      </c>
      <c r="E15">
        <f t="shared" si="0"/>
        <v>178</v>
      </c>
      <c r="F15" s="1">
        <v>4</v>
      </c>
      <c r="G15" s="1">
        <f>INT(Table1[[#This Row],[Index]]/C$5)</f>
        <v>0</v>
      </c>
      <c r="H15" s="1">
        <f ca="1">RAND()</f>
        <v>0.70275195107524424</v>
      </c>
    </row>
    <row r="16" spans="2:8" x14ac:dyDescent="0.3">
      <c r="B16" s="3">
        <f>(C$3*POWER(1+C$4, MOD(Table1[[#This Row],[Index]], C$5)))</f>
        <v>189.84375</v>
      </c>
      <c r="C16">
        <v>2</v>
      </c>
      <c r="D16">
        <f>C$6+(INT(Table1[[#This Row],[Index]]/C$5)*C$7)</f>
        <v>25</v>
      </c>
      <c r="E16">
        <f t="shared" si="0"/>
        <v>178</v>
      </c>
      <c r="F16" s="1">
        <v>5</v>
      </c>
      <c r="G16" s="1">
        <f>INT(Table1[[#This Row],[Index]]/C$5)</f>
        <v>0</v>
      </c>
      <c r="H16" s="1">
        <f ca="1">RAND()</f>
        <v>0.2275853816718606</v>
      </c>
    </row>
    <row r="17" spans="2:8" x14ac:dyDescent="0.3">
      <c r="B17" s="3">
        <f>(C$3*POWER(1+C$4, MOD(Table1[[#This Row],[Index]], C$5)))</f>
        <v>640.72265625</v>
      </c>
      <c r="C17">
        <v>2</v>
      </c>
      <c r="D17">
        <f>C$6+(INT(Table1[[#This Row],[Index]]/C$5)*C$7)</f>
        <v>25</v>
      </c>
      <c r="E17">
        <f t="shared" si="0"/>
        <v>178</v>
      </c>
      <c r="F17" s="1">
        <v>8</v>
      </c>
      <c r="G17" s="1">
        <f>INT(Table1[[#This Row],[Index]]/C$5)</f>
        <v>0</v>
      </c>
      <c r="H17" s="1">
        <f ca="1">RAND()</f>
        <v>0.67871956261533761</v>
      </c>
    </row>
    <row r="18" spans="2:8" x14ac:dyDescent="0.3">
      <c r="B18" s="3">
        <f>(C$3*POWER(1+C$4, MOD(Table1[[#This Row],[Index]], C$5)))</f>
        <v>961.083984375</v>
      </c>
      <c r="C18">
        <v>2</v>
      </c>
      <c r="D18">
        <f>C$6+(INT(Table1[[#This Row],[Index]]/C$5)*C$7)</f>
        <v>25</v>
      </c>
      <c r="E18">
        <f t="shared" si="0"/>
        <v>178</v>
      </c>
      <c r="F18" s="1">
        <v>9</v>
      </c>
      <c r="G18" s="1">
        <f>INT(Table1[[#This Row],[Index]]/C$5)</f>
        <v>0</v>
      </c>
      <c r="H18" s="1">
        <f ca="1">RAND()</f>
        <v>0.76272335013423176</v>
      </c>
    </row>
    <row r="19" spans="2:8" x14ac:dyDescent="0.3">
      <c r="B19" s="3">
        <f>(C$3*POWER(1+C$4, MOD(Table1[[#This Row],[Index]], C$5)))</f>
        <v>25</v>
      </c>
      <c r="C19">
        <v>2</v>
      </c>
      <c r="D19">
        <f>C$6+(INT(Table1[[#This Row],[Index]]/C$5)*C$7)</f>
        <v>25</v>
      </c>
      <c r="E19">
        <f t="shared" si="0"/>
        <v>178</v>
      </c>
      <c r="F19" s="1">
        <v>0</v>
      </c>
      <c r="G19" s="1">
        <f>INT(Table1[[#This Row],[Index]]/C$5)</f>
        <v>0</v>
      </c>
      <c r="H19" s="1">
        <f ca="1">RAND()</f>
        <v>0.9542725913082275</v>
      </c>
    </row>
    <row r="20" spans="2:8" x14ac:dyDescent="0.3">
      <c r="B20" s="3">
        <f>(C$3*POWER(1+C$4, MOD(Table1[[#This Row],[Index]], C$5)))</f>
        <v>2162.43896484375</v>
      </c>
      <c r="C20">
        <v>2</v>
      </c>
      <c r="D20">
        <f>C$6+(INT(Table1[[#This Row],[Index]]/C$5)*C$7)</f>
        <v>25</v>
      </c>
      <c r="E20">
        <f t="shared" si="0"/>
        <v>178</v>
      </c>
      <c r="F20" s="1">
        <v>11</v>
      </c>
      <c r="G20" s="1">
        <f>INT(Table1[[#This Row],[Index]]/C$5)</f>
        <v>0</v>
      </c>
      <c r="H20" s="1">
        <f ca="1">RAND()</f>
        <v>0.99955752147886978</v>
      </c>
    </row>
    <row r="21" spans="2:8" x14ac:dyDescent="0.3">
      <c r="B21" s="3">
        <f>(C$3*POWER(1+C$4, MOD(Table1[[#This Row],[Index]], C$5)))</f>
        <v>56.25</v>
      </c>
      <c r="C21">
        <v>2</v>
      </c>
      <c r="D21">
        <f>C$6+(INT(Table1[[#This Row],[Index]]/C$5)*C$7)</f>
        <v>25</v>
      </c>
      <c r="E21">
        <f t="shared" si="0"/>
        <v>178</v>
      </c>
      <c r="F21" s="1">
        <v>2</v>
      </c>
      <c r="G21" s="1">
        <f>INT(Table1[[#This Row],[Index]]/C$5)</f>
        <v>0</v>
      </c>
      <c r="H21" s="1">
        <f ca="1">RAND()</f>
        <v>0.38897670038835919</v>
      </c>
    </row>
    <row r="22" spans="2:8" x14ac:dyDescent="0.3">
      <c r="B22" s="3">
        <f>(C$3*POWER(1+C$4, MOD(Table1[[#This Row],[Index]], C$5)))</f>
        <v>37.5</v>
      </c>
      <c r="C22">
        <v>2</v>
      </c>
      <c r="D22">
        <f>C$6+(INT(Table1[[#This Row],[Index]]/C$5)*C$7)</f>
        <v>25</v>
      </c>
      <c r="E22">
        <f t="shared" si="0"/>
        <v>178</v>
      </c>
      <c r="F22" s="1">
        <v>1</v>
      </c>
      <c r="G22" s="1">
        <f>INT(Table1[[#This Row],[Index]]/C$5)</f>
        <v>0</v>
      </c>
      <c r="H22" s="1">
        <f ca="1">RAND()</f>
        <v>0.1645580332898674</v>
      </c>
    </row>
    <row r="23" spans="2:8" x14ac:dyDescent="0.3">
      <c r="B23" s="3">
        <f>(C$3*POWER(1+C$4, MOD(Table1[[#This Row],[Index]], C$5)))</f>
        <v>25</v>
      </c>
      <c r="C23">
        <v>2</v>
      </c>
      <c r="D23">
        <f>C$6+(INT(Table1[[#This Row],[Index]]/C$5)*C$7)</f>
        <v>50</v>
      </c>
      <c r="E23">
        <f t="shared" si="0"/>
        <v>178</v>
      </c>
      <c r="F23" s="1">
        <v>12</v>
      </c>
      <c r="G23" s="1">
        <f>INT(Table1[[#This Row],[Index]]/C$5)</f>
        <v>1</v>
      </c>
      <c r="H23" s="1">
        <f ca="1">RAND()</f>
        <v>4.9191473868423485E-2</v>
      </c>
    </row>
    <row r="24" spans="2:8" x14ac:dyDescent="0.3">
      <c r="B24" s="3">
        <f>(C$3*POWER(1+C$4, MOD(Table1[[#This Row],[Index]], C$5)))</f>
        <v>126.5625</v>
      </c>
      <c r="C24">
        <v>2</v>
      </c>
      <c r="D24">
        <f>C$6+(INT(Table1[[#This Row],[Index]]/C$5)*C$7)</f>
        <v>50</v>
      </c>
      <c r="E24">
        <f t="shared" si="0"/>
        <v>178</v>
      </c>
      <c r="F24" s="1">
        <v>16</v>
      </c>
      <c r="G24" s="1">
        <f>INT(Table1[[#This Row],[Index]]/C$5)</f>
        <v>1</v>
      </c>
      <c r="H24" s="1">
        <f ca="1">RAND()</f>
        <v>4.8404603812131297E-2</v>
      </c>
    </row>
    <row r="25" spans="2:8" x14ac:dyDescent="0.3">
      <c r="B25" s="3">
        <f>(C$3*POWER(1+C$4, MOD(Table1[[#This Row],[Index]], C$5)))</f>
        <v>427.1484375</v>
      </c>
      <c r="C25">
        <v>2</v>
      </c>
      <c r="D25">
        <f>C$6+(INT(Table1[[#This Row],[Index]]/C$5)*C$7)</f>
        <v>50</v>
      </c>
      <c r="E25">
        <f t="shared" si="0"/>
        <v>178</v>
      </c>
      <c r="F25" s="1">
        <v>19</v>
      </c>
      <c r="G25" s="1">
        <f>INT(Table1[[#This Row],[Index]]/C$5)</f>
        <v>1</v>
      </c>
      <c r="H25" s="1">
        <f ca="1">RAND()</f>
        <v>0.83191292381906623</v>
      </c>
    </row>
    <row r="26" spans="2:8" x14ac:dyDescent="0.3">
      <c r="B26" s="3">
        <f>(C$3*POWER(1+C$4, MOD(Table1[[#This Row],[Index]], C$5)))</f>
        <v>189.84375</v>
      </c>
      <c r="C26">
        <v>2</v>
      </c>
      <c r="D26">
        <f>C$6+(INT(Table1[[#This Row],[Index]]/C$5)*C$7)</f>
        <v>50</v>
      </c>
      <c r="E26">
        <f t="shared" si="0"/>
        <v>178</v>
      </c>
      <c r="F26" s="1">
        <v>17</v>
      </c>
      <c r="G26" s="1">
        <f>INT(Table1[[#This Row],[Index]]/C$5)</f>
        <v>1</v>
      </c>
      <c r="H26" s="1">
        <f ca="1">RAND()</f>
        <v>0.53010972001048218</v>
      </c>
    </row>
    <row r="27" spans="2:8" x14ac:dyDescent="0.3">
      <c r="B27" s="3">
        <f>(C$3*POWER(1+C$4, MOD(Table1[[#This Row],[Index]], C$5)))</f>
        <v>961.083984375</v>
      </c>
      <c r="C27">
        <v>2</v>
      </c>
      <c r="D27">
        <f>C$6+(INT(Table1[[#This Row],[Index]]/C$5)*C$7)</f>
        <v>50</v>
      </c>
      <c r="E27">
        <f t="shared" si="0"/>
        <v>178</v>
      </c>
      <c r="F27" s="1">
        <v>21</v>
      </c>
      <c r="G27" s="1">
        <f>INT(Table1[[#This Row],[Index]]/C$5)</f>
        <v>1</v>
      </c>
      <c r="H27" s="1">
        <f ca="1">RAND()</f>
        <v>0.91630545714951517</v>
      </c>
    </row>
    <row r="28" spans="2:8" x14ac:dyDescent="0.3">
      <c r="B28" s="3">
        <f>(C$3*POWER(1+C$4, MOD(Table1[[#This Row],[Index]], C$5)))</f>
        <v>2162.43896484375</v>
      </c>
      <c r="C28">
        <v>2</v>
      </c>
      <c r="D28">
        <f>C$6+(INT(Table1[[#This Row],[Index]]/C$5)*C$7)</f>
        <v>50</v>
      </c>
      <c r="E28">
        <f t="shared" si="0"/>
        <v>178</v>
      </c>
      <c r="F28" s="1">
        <v>23</v>
      </c>
      <c r="G28" s="1">
        <f>INT(Table1[[#This Row],[Index]]/C$5)</f>
        <v>1</v>
      </c>
      <c r="H28" s="1">
        <f ca="1">RAND()</f>
        <v>0.21087838310558449</v>
      </c>
    </row>
    <row r="29" spans="2:8" x14ac:dyDescent="0.3">
      <c r="B29" s="3">
        <f>(C$3*POWER(1+C$4, MOD(Table1[[#This Row],[Index]], C$5)))</f>
        <v>1441.6259765625</v>
      </c>
      <c r="C29">
        <v>2</v>
      </c>
      <c r="D29">
        <f>C$6+(INT(Table1[[#This Row],[Index]]/C$5)*C$7)</f>
        <v>50</v>
      </c>
      <c r="E29">
        <f t="shared" si="0"/>
        <v>178</v>
      </c>
      <c r="F29" s="1">
        <v>22</v>
      </c>
      <c r="G29" s="1">
        <f>INT(Table1[[#This Row],[Index]]/C$5)</f>
        <v>1</v>
      </c>
      <c r="H29" s="1">
        <f ca="1">RAND()</f>
        <v>0.79859032408274722</v>
      </c>
    </row>
    <row r="30" spans="2:8" x14ac:dyDescent="0.3">
      <c r="B30" s="3">
        <f>(C$3*POWER(1+C$4, MOD(Table1[[#This Row],[Index]], C$5)))</f>
        <v>37.5</v>
      </c>
      <c r="C30">
        <v>2</v>
      </c>
      <c r="D30">
        <f>C$6+(INT(Table1[[#This Row],[Index]]/C$5)*C$7)</f>
        <v>50</v>
      </c>
      <c r="E30">
        <f t="shared" si="0"/>
        <v>178</v>
      </c>
      <c r="F30" s="1">
        <v>13</v>
      </c>
      <c r="G30" s="1">
        <f>INT(Table1[[#This Row],[Index]]/C$5)</f>
        <v>1</v>
      </c>
      <c r="H30" s="1">
        <f ca="1">RAND()</f>
        <v>0.46710356360379079</v>
      </c>
    </row>
    <row r="31" spans="2:8" x14ac:dyDescent="0.3">
      <c r="B31" s="3">
        <f>(C$3*POWER(1+C$4, MOD(Table1[[#This Row],[Index]], C$5)))</f>
        <v>284.765625</v>
      </c>
      <c r="C31">
        <v>2</v>
      </c>
      <c r="D31">
        <f>C$6+(INT(Table1[[#This Row],[Index]]/C$5)*C$7)</f>
        <v>50</v>
      </c>
      <c r="E31">
        <f t="shared" si="0"/>
        <v>178</v>
      </c>
      <c r="F31" s="1">
        <v>18</v>
      </c>
      <c r="G31" s="1">
        <f>INT(Table1[[#This Row],[Index]]/C$5)</f>
        <v>1</v>
      </c>
      <c r="H31" s="1">
        <f ca="1">RAND()</f>
        <v>0.31610506685053874</v>
      </c>
    </row>
    <row r="32" spans="2:8" x14ac:dyDescent="0.3">
      <c r="B32" s="3">
        <f>(C$3*POWER(1+C$4, MOD(Table1[[#This Row],[Index]], C$5)))</f>
        <v>56.25</v>
      </c>
      <c r="C32">
        <v>2</v>
      </c>
      <c r="D32">
        <f>C$6+(INT(Table1[[#This Row],[Index]]/C$5)*C$7)</f>
        <v>50</v>
      </c>
      <c r="E32">
        <f t="shared" si="0"/>
        <v>178</v>
      </c>
      <c r="F32" s="1">
        <v>14</v>
      </c>
      <c r="G32" s="1">
        <f>INT(Table1[[#This Row],[Index]]/C$5)</f>
        <v>1</v>
      </c>
      <c r="H32" s="1">
        <f ca="1">RAND()</f>
        <v>0.35356526302413016</v>
      </c>
    </row>
    <row r="33" spans="2:8" x14ac:dyDescent="0.3">
      <c r="B33" s="3">
        <f>(C$3*POWER(1+C$4, MOD(Table1[[#This Row],[Index]], C$5)))</f>
        <v>84.375</v>
      </c>
      <c r="C33">
        <v>2</v>
      </c>
      <c r="D33">
        <f>C$6+(INT(Table1[[#This Row],[Index]]/C$5)*C$7)</f>
        <v>50</v>
      </c>
      <c r="E33">
        <f t="shared" si="0"/>
        <v>178</v>
      </c>
      <c r="F33" s="1">
        <v>15</v>
      </c>
      <c r="G33" s="1">
        <f>INT(Table1[[#This Row],[Index]]/C$5)</f>
        <v>1</v>
      </c>
      <c r="H33" s="1">
        <f ca="1">RAND()</f>
        <v>0.40161289769946895</v>
      </c>
    </row>
    <row r="34" spans="2:8" x14ac:dyDescent="0.3">
      <c r="B34" s="3">
        <f>(C$3*POWER(1+C$4, MOD(Table1[[#This Row],[Index]], C$5)))</f>
        <v>640.72265625</v>
      </c>
      <c r="C34">
        <v>2</v>
      </c>
      <c r="D34">
        <f>C$6+(INT(Table1[[#This Row],[Index]]/C$5)*C$7)</f>
        <v>50</v>
      </c>
      <c r="E34">
        <f t="shared" si="0"/>
        <v>178</v>
      </c>
      <c r="F34" s="1">
        <v>20</v>
      </c>
      <c r="G34" s="1">
        <f>INT(Table1[[#This Row],[Index]]/C$5)</f>
        <v>1</v>
      </c>
      <c r="H34" s="1">
        <f ca="1">RAND()</f>
        <v>0.13054230793802979</v>
      </c>
    </row>
    <row r="35" spans="2:8" x14ac:dyDescent="0.3">
      <c r="B35" s="3">
        <f>(C$3*POWER(1+C$4, MOD(Table1[[#This Row],[Index]], C$5)))</f>
        <v>2162.43896484375</v>
      </c>
      <c r="C35">
        <v>2</v>
      </c>
      <c r="D35">
        <f>C$6+(INT(Table1[[#This Row],[Index]]/C$5)*C$7)</f>
        <v>75</v>
      </c>
      <c r="E35">
        <f t="shared" si="0"/>
        <v>178</v>
      </c>
      <c r="F35" s="1">
        <v>35</v>
      </c>
      <c r="G35" s="1">
        <f>INT(Table1[[#This Row],[Index]]/C$5)</f>
        <v>2</v>
      </c>
      <c r="H35" s="1">
        <f ca="1">RAND()</f>
        <v>0.6481667252330674</v>
      </c>
    </row>
    <row r="36" spans="2:8" x14ac:dyDescent="0.3">
      <c r="B36" s="3">
        <f>(C$3*POWER(1+C$4, MOD(Table1[[#This Row],[Index]], C$5)))</f>
        <v>1441.6259765625</v>
      </c>
      <c r="C36">
        <v>2</v>
      </c>
      <c r="D36">
        <f>C$6+(INT(Table1[[#This Row],[Index]]/C$5)*C$7)</f>
        <v>75</v>
      </c>
      <c r="E36">
        <f t="shared" si="0"/>
        <v>178</v>
      </c>
      <c r="F36" s="1">
        <v>34</v>
      </c>
      <c r="G36" s="1">
        <f>INT(Table1[[#This Row],[Index]]/C$5)</f>
        <v>2</v>
      </c>
      <c r="H36" s="1">
        <f ca="1">RAND()</f>
        <v>0.13832986608692566</v>
      </c>
    </row>
    <row r="37" spans="2:8" x14ac:dyDescent="0.3">
      <c r="B37" s="3">
        <f>(C$3*POWER(1+C$4, MOD(Table1[[#This Row],[Index]], C$5)))</f>
        <v>37.5</v>
      </c>
      <c r="C37">
        <v>2</v>
      </c>
      <c r="D37">
        <f>C$6+(INT(Table1[[#This Row],[Index]]/C$5)*C$7)</f>
        <v>75</v>
      </c>
      <c r="E37">
        <f t="shared" si="0"/>
        <v>178</v>
      </c>
      <c r="F37" s="1">
        <v>25</v>
      </c>
      <c r="G37" s="1">
        <f>INT(Table1[[#This Row],[Index]]/C$5)</f>
        <v>2</v>
      </c>
      <c r="H37" s="1">
        <f ca="1">RAND()</f>
        <v>2.9327791745603293E-2</v>
      </c>
    </row>
    <row r="38" spans="2:8" x14ac:dyDescent="0.3">
      <c r="B38" s="3">
        <f>(C$3*POWER(1+C$4, MOD(Table1[[#This Row],[Index]], C$5)))</f>
        <v>427.1484375</v>
      </c>
      <c r="C38">
        <v>2</v>
      </c>
      <c r="D38">
        <f>C$6+(INT(Table1[[#This Row],[Index]]/C$5)*C$7)</f>
        <v>75</v>
      </c>
      <c r="E38">
        <f t="shared" si="0"/>
        <v>178</v>
      </c>
      <c r="F38" s="1">
        <v>31</v>
      </c>
      <c r="G38" s="1">
        <f>INT(Table1[[#This Row],[Index]]/C$5)</f>
        <v>2</v>
      </c>
      <c r="H38" s="1">
        <f ca="1">RAND()</f>
        <v>0.75123409729100699</v>
      </c>
    </row>
    <row r="39" spans="2:8" x14ac:dyDescent="0.3">
      <c r="B39" s="3">
        <f>(C$3*POWER(1+C$4, MOD(Table1[[#This Row],[Index]], C$5)))</f>
        <v>961.083984375</v>
      </c>
      <c r="C39">
        <v>2</v>
      </c>
      <c r="D39">
        <f>C$6+(INT(Table1[[#This Row],[Index]]/C$5)*C$7)</f>
        <v>75</v>
      </c>
      <c r="E39">
        <f t="shared" si="0"/>
        <v>178</v>
      </c>
      <c r="F39" s="1">
        <v>33</v>
      </c>
      <c r="G39" s="1">
        <f>INT(Table1[[#This Row],[Index]]/C$5)</f>
        <v>2</v>
      </c>
      <c r="H39" s="1">
        <f ca="1">RAND()</f>
        <v>0.59330812098188246</v>
      </c>
    </row>
    <row r="40" spans="2:8" x14ac:dyDescent="0.3">
      <c r="B40" s="3">
        <f>(C$3*POWER(1+C$4, MOD(Table1[[#This Row],[Index]], C$5)))</f>
        <v>189.84375</v>
      </c>
      <c r="C40">
        <v>2</v>
      </c>
      <c r="D40">
        <f>C$6+(INT(Table1[[#This Row],[Index]]/C$5)*C$7)</f>
        <v>75</v>
      </c>
      <c r="E40">
        <f t="shared" si="0"/>
        <v>178</v>
      </c>
      <c r="F40" s="1">
        <v>29</v>
      </c>
      <c r="G40" s="1">
        <f>INT(Table1[[#This Row],[Index]]/C$5)</f>
        <v>2</v>
      </c>
      <c r="H40" s="1">
        <f ca="1">RAND()</f>
        <v>0.35017319771531474</v>
      </c>
    </row>
    <row r="41" spans="2:8" x14ac:dyDescent="0.3">
      <c r="B41" s="3">
        <f>(C$3*POWER(1+C$4, MOD(Table1[[#This Row],[Index]], C$5)))</f>
        <v>56.25</v>
      </c>
      <c r="C41">
        <v>2</v>
      </c>
      <c r="D41">
        <f>C$6+(INT(Table1[[#This Row],[Index]]/C$5)*C$7)</f>
        <v>75</v>
      </c>
      <c r="E41">
        <f t="shared" si="0"/>
        <v>178</v>
      </c>
      <c r="F41" s="1">
        <v>26</v>
      </c>
      <c r="G41" s="1">
        <f>INT(Table1[[#This Row],[Index]]/C$5)</f>
        <v>2</v>
      </c>
      <c r="H41" s="1">
        <f ca="1">RAND()</f>
        <v>0.2874409559453911</v>
      </c>
    </row>
    <row r="42" spans="2:8" x14ac:dyDescent="0.3">
      <c r="B42" s="3">
        <f>(C$3*POWER(1+C$4, MOD(Table1[[#This Row],[Index]], C$5)))</f>
        <v>126.5625</v>
      </c>
      <c r="C42">
        <v>2</v>
      </c>
      <c r="D42">
        <f>C$6+(INT(Table1[[#This Row],[Index]]/C$5)*C$7)</f>
        <v>75</v>
      </c>
      <c r="E42">
        <f t="shared" si="0"/>
        <v>178</v>
      </c>
      <c r="F42" s="1">
        <v>28</v>
      </c>
      <c r="G42" s="1">
        <f>INT(Table1[[#This Row],[Index]]/C$5)</f>
        <v>2</v>
      </c>
      <c r="H42" s="1">
        <f ca="1">RAND()</f>
        <v>0.28678669055017214</v>
      </c>
    </row>
    <row r="43" spans="2:8" x14ac:dyDescent="0.3">
      <c r="B43" s="3">
        <f>(C$3*POWER(1+C$4, MOD(Table1[[#This Row],[Index]], C$5)))</f>
        <v>284.765625</v>
      </c>
      <c r="C43">
        <v>2</v>
      </c>
      <c r="D43">
        <f>C$6+(INT(Table1[[#This Row],[Index]]/C$5)*C$7)</f>
        <v>75</v>
      </c>
      <c r="E43">
        <f t="shared" si="0"/>
        <v>178</v>
      </c>
      <c r="F43" s="1">
        <v>30</v>
      </c>
      <c r="G43" s="1">
        <f>INT(Table1[[#This Row],[Index]]/C$5)</f>
        <v>2</v>
      </c>
      <c r="H43" s="1">
        <f ca="1">RAND()</f>
        <v>2.4572664328147531E-2</v>
      </c>
    </row>
    <row r="44" spans="2:8" x14ac:dyDescent="0.3">
      <c r="B44" s="3">
        <f>(C$3*POWER(1+C$4, MOD(Table1[[#This Row],[Index]], C$5)))</f>
        <v>84.375</v>
      </c>
      <c r="C44">
        <v>2</v>
      </c>
      <c r="D44">
        <f>C$6+(INT(Table1[[#This Row],[Index]]/C$5)*C$7)</f>
        <v>75</v>
      </c>
      <c r="E44">
        <f t="shared" si="0"/>
        <v>178</v>
      </c>
      <c r="F44" s="1">
        <v>27</v>
      </c>
      <c r="G44" s="1">
        <f>INT(Table1[[#This Row],[Index]]/C$5)</f>
        <v>2</v>
      </c>
      <c r="H44" s="1">
        <f ca="1">RAND()</f>
        <v>0.46026118423731699</v>
      </c>
    </row>
    <row r="45" spans="2:8" x14ac:dyDescent="0.3">
      <c r="B45" s="3">
        <f>(C$3*POWER(1+C$4, MOD(Table1[[#This Row],[Index]], C$5)))</f>
        <v>640.72265625</v>
      </c>
      <c r="C45">
        <v>2</v>
      </c>
      <c r="D45">
        <f>C$6+(INT(Table1[[#This Row],[Index]]/C$5)*C$7)</f>
        <v>75</v>
      </c>
      <c r="E45">
        <f t="shared" si="0"/>
        <v>178</v>
      </c>
      <c r="F45" s="1">
        <v>32</v>
      </c>
      <c r="G45" s="1">
        <f>INT(Table1[[#This Row],[Index]]/C$5)</f>
        <v>2</v>
      </c>
      <c r="H45" s="1">
        <f ca="1">RAND()</f>
        <v>0.43784621966700799</v>
      </c>
    </row>
    <row r="46" spans="2:8" x14ac:dyDescent="0.3">
      <c r="B46" s="3">
        <f>(C$3*POWER(1+C$4, MOD(Table1[[#This Row],[Index]], C$5)))</f>
        <v>25</v>
      </c>
      <c r="C46">
        <v>2</v>
      </c>
      <c r="D46">
        <f>C$6+(INT(Table1[[#This Row],[Index]]/C$5)*C$7)</f>
        <v>75</v>
      </c>
      <c r="E46">
        <f t="shared" si="0"/>
        <v>178</v>
      </c>
      <c r="F46" s="1">
        <v>24</v>
      </c>
      <c r="G46" s="1">
        <f>INT(Table1[[#This Row],[Index]]/C$5)</f>
        <v>2</v>
      </c>
      <c r="H46" s="1">
        <f ca="1">RAND()</f>
        <v>0.75563437808786116</v>
      </c>
    </row>
    <row r="47" spans="2:8" x14ac:dyDescent="0.3">
      <c r="B47" s="3">
        <f>(C$3*POWER(1+C$4, MOD(Table1[[#This Row],[Index]], C$5)))</f>
        <v>2162.43896484375</v>
      </c>
      <c r="C47">
        <v>2</v>
      </c>
      <c r="D47">
        <f>C$6+(INT(Table1[[#This Row],[Index]]/C$5)*C$7)</f>
        <v>100</v>
      </c>
      <c r="E47">
        <f t="shared" si="0"/>
        <v>178</v>
      </c>
      <c r="F47" s="1">
        <v>47</v>
      </c>
      <c r="G47" s="1">
        <f>INT(Table1[[#This Row],[Index]]/C$5)</f>
        <v>3</v>
      </c>
      <c r="H47" s="1">
        <f ca="1">RAND()</f>
        <v>0.69428459816102028</v>
      </c>
    </row>
    <row r="48" spans="2:8" x14ac:dyDescent="0.3">
      <c r="B48" s="3">
        <f>(C$3*POWER(1+C$4, MOD(Table1[[#This Row],[Index]], C$5)))</f>
        <v>126.5625</v>
      </c>
      <c r="C48">
        <v>2</v>
      </c>
      <c r="D48">
        <f>C$6+(INT(Table1[[#This Row],[Index]]/C$5)*C$7)</f>
        <v>100</v>
      </c>
      <c r="E48">
        <f t="shared" si="0"/>
        <v>178</v>
      </c>
      <c r="F48" s="1">
        <v>40</v>
      </c>
      <c r="G48" s="1">
        <f>INT(Table1[[#This Row],[Index]]/C$5)</f>
        <v>3</v>
      </c>
      <c r="H48" s="1">
        <f ca="1">RAND()</f>
        <v>0.71443302293069488</v>
      </c>
    </row>
    <row r="49" spans="2:8" x14ac:dyDescent="0.3">
      <c r="B49" s="3">
        <f>(C$3*POWER(1+C$4, MOD(Table1[[#This Row],[Index]], C$5)))</f>
        <v>84.375</v>
      </c>
      <c r="C49">
        <v>2</v>
      </c>
      <c r="D49">
        <f>C$6+(INT(Table1[[#This Row],[Index]]/C$5)*C$7)</f>
        <v>100</v>
      </c>
      <c r="E49">
        <f t="shared" si="0"/>
        <v>178</v>
      </c>
      <c r="F49" s="1">
        <v>39</v>
      </c>
      <c r="G49" s="1">
        <f>INT(Table1[[#This Row],[Index]]/C$5)</f>
        <v>3</v>
      </c>
      <c r="H49" s="1">
        <f ca="1">RAND()</f>
        <v>4.5421722612420057E-2</v>
      </c>
    </row>
    <row r="50" spans="2:8" x14ac:dyDescent="0.3">
      <c r="B50" s="3">
        <f>(C$3*POWER(1+C$4, MOD(Table1[[#This Row],[Index]], C$5)))</f>
        <v>427.1484375</v>
      </c>
      <c r="C50">
        <v>2</v>
      </c>
      <c r="D50">
        <f>C$6+(INT(Table1[[#This Row],[Index]]/C$5)*C$7)</f>
        <v>100</v>
      </c>
      <c r="E50">
        <f t="shared" si="0"/>
        <v>178</v>
      </c>
      <c r="F50" s="1">
        <v>43</v>
      </c>
      <c r="G50" s="1">
        <f>INT(Table1[[#This Row],[Index]]/C$5)</f>
        <v>3</v>
      </c>
      <c r="H50" s="1">
        <f ca="1">RAND()</f>
        <v>0.56295068114895985</v>
      </c>
    </row>
    <row r="51" spans="2:8" x14ac:dyDescent="0.3">
      <c r="B51" s="3">
        <f>(C$3*POWER(1+C$4, MOD(Table1[[#This Row],[Index]], C$5)))</f>
        <v>961.083984375</v>
      </c>
      <c r="C51">
        <v>2</v>
      </c>
      <c r="D51">
        <f>C$6+(INT(Table1[[#This Row],[Index]]/C$5)*C$7)</f>
        <v>100</v>
      </c>
      <c r="E51">
        <f t="shared" si="0"/>
        <v>178</v>
      </c>
      <c r="F51" s="1">
        <v>45</v>
      </c>
      <c r="G51" s="1">
        <f>INT(Table1[[#This Row],[Index]]/C$5)</f>
        <v>3</v>
      </c>
      <c r="H51" s="1">
        <f ca="1">RAND()</f>
        <v>0.89539313532196663</v>
      </c>
    </row>
    <row r="52" spans="2:8" x14ac:dyDescent="0.3">
      <c r="B52" s="3">
        <f>(C$3*POWER(1+C$4, MOD(Table1[[#This Row],[Index]], C$5)))</f>
        <v>1441.6259765625</v>
      </c>
      <c r="C52">
        <v>2</v>
      </c>
      <c r="D52">
        <f>C$6+(INT(Table1[[#This Row],[Index]]/C$5)*C$7)</f>
        <v>100</v>
      </c>
      <c r="E52">
        <f t="shared" si="0"/>
        <v>178</v>
      </c>
      <c r="F52" s="1">
        <v>46</v>
      </c>
      <c r="G52" s="1">
        <f>INT(Table1[[#This Row],[Index]]/C$5)</f>
        <v>3</v>
      </c>
      <c r="H52" s="1">
        <f ca="1">RAND()</f>
        <v>0.54740633302702812</v>
      </c>
    </row>
    <row r="53" spans="2:8" x14ac:dyDescent="0.3">
      <c r="B53" s="3">
        <f>(C$3*POWER(1+C$4, MOD(Table1[[#This Row],[Index]], C$5)))</f>
        <v>25</v>
      </c>
      <c r="C53">
        <v>2</v>
      </c>
      <c r="D53">
        <f>C$6+(INT(Table1[[#This Row],[Index]]/C$5)*C$7)</f>
        <v>100</v>
      </c>
      <c r="E53">
        <f t="shared" si="0"/>
        <v>178</v>
      </c>
      <c r="F53" s="1">
        <v>36</v>
      </c>
      <c r="G53" s="1">
        <f>INT(Table1[[#This Row],[Index]]/C$5)</f>
        <v>3</v>
      </c>
      <c r="H53" s="1">
        <f ca="1">RAND()</f>
        <v>0.66194990499572015</v>
      </c>
    </row>
    <row r="54" spans="2:8" x14ac:dyDescent="0.3">
      <c r="B54" s="3">
        <f>(C$3*POWER(1+C$4, MOD(Table1[[#This Row],[Index]], C$5)))</f>
        <v>37.5</v>
      </c>
      <c r="C54">
        <v>2</v>
      </c>
      <c r="D54">
        <f>C$6+(INT(Table1[[#This Row],[Index]]/C$5)*C$7)</f>
        <v>100</v>
      </c>
      <c r="E54">
        <f t="shared" si="0"/>
        <v>178</v>
      </c>
      <c r="F54" s="1">
        <v>37</v>
      </c>
      <c r="G54" s="1">
        <f>INT(Table1[[#This Row],[Index]]/C$5)</f>
        <v>3</v>
      </c>
      <c r="H54" s="1">
        <f ca="1">RAND()</f>
        <v>0.74931462478687272</v>
      </c>
    </row>
    <row r="55" spans="2:8" x14ac:dyDescent="0.3">
      <c r="B55" s="3">
        <f>(C$3*POWER(1+C$4, MOD(Table1[[#This Row],[Index]], C$5)))</f>
        <v>284.765625</v>
      </c>
      <c r="C55">
        <v>2</v>
      </c>
      <c r="D55">
        <f>C$6+(INT(Table1[[#This Row],[Index]]/C$5)*C$7)</f>
        <v>100</v>
      </c>
      <c r="E55">
        <f t="shared" si="0"/>
        <v>178</v>
      </c>
      <c r="F55" s="1">
        <v>42</v>
      </c>
      <c r="G55" s="1">
        <f>INT(Table1[[#This Row],[Index]]/C$5)</f>
        <v>3</v>
      </c>
      <c r="H55" s="1">
        <f ca="1">RAND()</f>
        <v>0.86715893849766779</v>
      </c>
    </row>
    <row r="56" spans="2:8" x14ac:dyDescent="0.3">
      <c r="B56" s="3">
        <f>(C$3*POWER(1+C$4, MOD(Table1[[#This Row],[Index]], C$5)))</f>
        <v>640.72265625</v>
      </c>
      <c r="C56">
        <v>2</v>
      </c>
      <c r="D56">
        <f>C$6+(INT(Table1[[#This Row],[Index]]/C$5)*C$7)</f>
        <v>100</v>
      </c>
      <c r="E56">
        <f t="shared" si="0"/>
        <v>178</v>
      </c>
      <c r="F56" s="1">
        <v>44</v>
      </c>
      <c r="G56" s="1">
        <f>INT(Table1[[#This Row],[Index]]/C$5)</f>
        <v>3</v>
      </c>
      <c r="H56" s="1">
        <f ca="1">RAND()</f>
        <v>0.72946610141078716</v>
      </c>
    </row>
    <row r="57" spans="2:8" x14ac:dyDescent="0.3">
      <c r="B57" s="3">
        <f>(C$3*POWER(1+C$4, MOD(Table1[[#This Row],[Index]], C$5)))</f>
        <v>56.25</v>
      </c>
      <c r="C57">
        <v>2</v>
      </c>
      <c r="D57">
        <f>C$6+(INT(Table1[[#This Row],[Index]]/C$5)*C$7)</f>
        <v>100</v>
      </c>
      <c r="E57">
        <f t="shared" si="0"/>
        <v>178</v>
      </c>
      <c r="F57" s="1">
        <v>38</v>
      </c>
      <c r="G57" s="1">
        <f>INT(Table1[[#This Row],[Index]]/C$5)</f>
        <v>3</v>
      </c>
      <c r="H57" s="1">
        <f ca="1">RAND()</f>
        <v>0.94943536558346475</v>
      </c>
    </row>
    <row r="58" spans="2:8" x14ac:dyDescent="0.3">
      <c r="B58" s="3">
        <f>(C$3*POWER(1+C$4, MOD(Table1[[#This Row],[Index]], C$5)))</f>
        <v>189.84375</v>
      </c>
      <c r="C58">
        <v>2</v>
      </c>
      <c r="D58">
        <f>C$6+(INT(Table1[[#This Row],[Index]]/C$5)*C$7)</f>
        <v>100</v>
      </c>
      <c r="E58">
        <f t="shared" si="0"/>
        <v>178</v>
      </c>
      <c r="F58" s="1">
        <v>41</v>
      </c>
      <c r="G58" s="1">
        <f>INT(Table1[[#This Row],[Index]]/C$5)</f>
        <v>3</v>
      </c>
      <c r="H58" s="1">
        <f ca="1">RAND()</f>
        <v>0.71039375285203332</v>
      </c>
    </row>
  </sheetData>
  <pageMargins left="0.7" right="0.7" top="0.75" bottom="0.75" header="0.3" footer="0.3"/>
  <ignoredErrors>
    <ignoredError sqref="B11:B58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Randomiser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Stuart Warwick</cp:lastModifiedBy>
  <dcterms:created xsi:type="dcterms:W3CDTF">2025-08-22T14:24:36Z</dcterms:created>
  <dcterms:modified xsi:type="dcterms:W3CDTF">2025-08-22T15:27:57Z</dcterms:modified>
</cp:coreProperties>
</file>